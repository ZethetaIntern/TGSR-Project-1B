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ttention" sheetId="2" state="visible" r:id="rId2"/>
    <sheet xmlns:r="http://schemas.openxmlformats.org/officeDocument/2006/relationships" name="IC_Reconciliation" sheetId="3" state="visible" r:id="rId3"/>
    <sheet xmlns:r="http://schemas.openxmlformats.org/officeDocument/2006/relationships" name="Conformal" sheetId="4" state="visible" r:id="rId4"/>
    <sheet xmlns:r="http://schemas.openxmlformats.org/officeDocument/2006/relationships" name="Overlay" sheetId="5" state="visible" r:id="rId5"/>
    <sheet xmlns:r="http://schemas.openxmlformats.org/officeDocument/2006/relationships" name="Python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TGSR Project 1B — Validation Workbook</t>
        </is>
      </c>
      <c r="B1" s="1" t="n"/>
    </row>
    <row r="2">
      <c r="A2" s="2" t="inlineStr">
        <is>
          <t>Purpose</t>
        </is>
      </c>
      <c r="B2" s="2" t="inlineStr">
        <is>
          <t>Independent reconciliation template required by the brief.</t>
        </is>
      </c>
    </row>
    <row r="3">
      <c r="A3" s="2" t="inlineStr">
        <is>
          <t>Status</t>
        </is>
      </c>
      <c r="B3" s="2" t="inlineStr">
        <is>
          <t>Smoke-test values are engineering-only; replace with empirical outputs after data download.</t>
        </is>
      </c>
    </row>
    <row r="4">
      <c r="A4" s="2" t="inlineStr">
        <is>
          <t>Confidentiality</t>
        </is>
      </c>
      <c r="B4" s="2" t="inlineStr">
        <is>
          <t>Strictly Private and Confidential · Zetheta Algorithms Private Limited · CIN: U62012MH2023PTC410415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p*ln(p)</t>
        </is>
      </c>
      <c r="E1" s="1" t="inlineStr">
        <is>
          <t>Entropy contribution</t>
        </is>
      </c>
    </row>
    <row r="2">
      <c r="A2" s="2" t="inlineStr">
        <is>
          <t>Bank</t>
        </is>
      </c>
      <c r="B2" s="2" t="inlineStr">
        <is>
          <t>IT</t>
        </is>
      </c>
      <c r="C2" s="2" t="n">
        <v>0.32</v>
      </c>
      <c r="D2" s="2">
        <f>C2*LN(C2)</f>
        <v/>
      </c>
      <c r="E2" s="2">
        <f>-D2</f>
        <v/>
      </c>
    </row>
    <row r="3">
      <c r="A3" s="2" t="inlineStr">
        <is>
          <t>Pharma</t>
        </is>
      </c>
      <c r="B3" s="2" t="inlineStr">
        <is>
          <t>IT</t>
        </is>
      </c>
      <c r="C3" s="2" t="n">
        <v>0.24</v>
      </c>
      <c r="D3" s="2">
        <f>C3*LN(C3)</f>
        <v/>
      </c>
      <c r="E3" s="2">
        <f>-D3</f>
        <v/>
      </c>
    </row>
    <row r="4">
      <c r="A4" s="2" t="inlineStr">
        <is>
          <t>FMCG</t>
        </is>
      </c>
      <c r="B4" s="2" t="inlineStr">
        <is>
          <t>IT</t>
        </is>
      </c>
      <c r="C4" s="2" t="n">
        <v>0.18</v>
      </c>
      <c r="D4" s="2">
        <f>C4*LN(C4)</f>
        <v/>
      </c>
      <c r="E4" s="2">
        <f>-D4</f>
        <v/>
      </c>
    </row>
    <row r="5">
      <c r="A5" s="2" t="inlineStr">
        <is>
          <t>Auto</t>
        </is>
      </c>
      <c r="B5" s="2" t="inlineStr">
        <is>
          <t>IT</t>
        </is>
      </c>
      <c r="C5" s="2" t="n">
        <v>0.14</v>
      </c>
      <c r="D5" s="2">
        <f>C5*LN(C5)</f>
        <v/>
      </c>
      <c r="E5" s="2">
        <f>-D5</f>
        <v/>
      </c>
    </row>
    <row r="6">
      <c r="A6" s="2" t="inlineStr">
        <is>
          <t>Metal</t>
        </is>
      </c>
      <c r="B6" s="2" t="inlineStr">
        <is>
          <t>IT</t>
        </is>
      </c>
      <c r="C6" s="2" t="n">
        <v>0.12</v>
      </c>
      <c r="D6" s="2">
        <f>C6*LN(C6)</f>
        <v/>
      </c>
      <c r="E6" s="2">
        <f>-D6</f>
        <v/>
      </c>
    </row>
    <row r="7">
      <c r="A7" s="2" t="inlineStr"/>
      <c r="B7" s="2" t="inlineStr"/>
      <c r="C7" s="2" t="inlineStr"/>
      <c r="D7" s="2" t="inlineStr">
        <is>
          <t>Entropy</t>
        </is>
      </c>
      <c r="E7" s="2">
        <f>SUM(E2:E6)</f>
        <v/>
      </c>
    </row>
    <row r="8">
      <c r="A8" s="2" t="inlineStr"/>
      <c r="B8" s="2" t="inlineStr"/>
      <c r="C8" s="2" t="inlineStr"/>
      <c r="D8" s="2" t="inlineStr">
        <is>
          <t>Top-3 concentration</t>
        </is>
      </c>
      <c r="E8" s="2">
        <f>SUM(C2:C4)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Python IC</t>
        </is>
      </c>
      <c r="C1" s="1" t="inlineStr">
        <is>
          <t>R IC</t>
        </is>
      </c>
      <c r="D1" s="1" t="inlineStr">
        <is>
          <t>Abs Diff</t>
        </is>
      </c>
      <c r="E1" s="1" t="inlineStr">
        <is>
          <t>Tolerance</t>
        </is>
      </c>
      <c r="F1" s="1" t="inlineStr">
        <is>
          <t>Status</t>
        </is>
      </c>
    </row>
    <row r="2">
      <c r="A2" s="2" t="inlineStr">
        <is>
          <t>2026-01-02</t>
        </is>
      </c>
      <c r="B2" s="2" t="n">
        <v>0.06720000000000001</v>
      </c>
      <c r="C2" s="2" t="n">
        <v>0.06740000000000002</v>
      </c>
      <c r="D2" s="2">
        <f>ABS(B2-C2)</f>
        <v/>
      </c>
      <c r="E2" s="2" t="n">
        <v>0.001</v>
      </c>
      <c r="F2" s="2">
        <f>IF(D2&lt;=E2,"PASS","FAIL")</f>
        <v/>
      </c>
    </row>
    <row r="3">
      <c r="A3" s="2" t="inlineStr">
        <is>
          <t>2026-01-03</t>
        </is>
      </c>
      <c r="B3" s="2" t="n">
        <v>0.0673</v>
      </c>
      <c r="C3" s="2" t="n">
        <v>0.0675</v>
      </c>
      <c r="D3" s="2">
        <f>ABS(B3-C3)</f>
        <v/>
      </c>
      <c r="E3" s="2" t="n">
        <v>0.001</v>
      </c>
      <c r="F3" s="2">
        <f>IF(D3&lt;=E3,"PASS","FAIL")</f>
        <v/>
      </c>
    </row>
    <row r="4">
      <c r="A4" s="2" t="inlineStr">
        <is>
          <t>2026-01-04</t>
        </is>
      </c>
      <c r="B4" s="2" t="n">
        <v>0.0674</v>
      </c>
      <c r="C4" s="2" t="n">
        <v>0.06760000000000001</v>
      </c>
      <c r="D4" s="2">
        <f>ABS(B4-C4)</f>
        <v/>
      </c>
      <c r="E4" s="2" t="n">
        <v>0.001</v>
      </c>
      <c r="F4" s="2">
        <f>IF(D4&lt;=E4,"PASS","FAIL")</f>
        <v/>
      </c>
    </row>
    <row r="5">
      <c r="A5" s="2" t="inlineStr">
        <is>
          <t>2026-01-05</t>
        </is>
      </c>
      <c r="B5" s="2" t="n">
        <v>0.0675</v>
      </c>
      <c r="C5" s="2" t="n">
        <v>0.06770000000000001</v>
      </c>
      <c r="D5" s="2">
        <f>ABS(B5-C5)</f>
        <v/>
      </c>
      <c r="E5" s="2" t="n">
        <v>0.001</v>
      </c>
      <c r="F5" s="2">
        <f>IF(D5&lt;=E5,"PASS","FAIL")</f>
        <v/>
      </c>
    </row>
    <row r="6">
      <c r="A6" s="2" t="inlineStr">
        <is>
          <t>2026-01-06</t>
        </is>
      </c>
      <c r="B6" s="2" t="n">
        <v>0.06760000000000001</v>
      </c>
      <c r="C6" s="2" t="n">
        <v>0.06780000000000001</v>
      </c>
      <c r="D6" s="2">
        <f>ABS(B6-C6)</f>
        <v/>
      </c>
      <c r="E6" s="2" t="n">
        <v>0.001</v>
      </c>
      <c r="F6" s="2">
        <f>IF(D6&lt;=E6,"PASS","FAIL")</f>
        <v/>
      </c>
    </row>
    <row r="7">
      <c r="A7" s="2" t="inlineStr">
        <is>
          <t>2026-01-07</t>
        </is>
      </c>
      <c r="B7" s="2" t="n">
        <v>0.06770000000000001</v>
      </c>
      <c r="C7" s="2" t="n">
        <v>0.06790000000000002</v>
      </c>
      <c r="D7" s="2">
        <f>ABS(B7-C7)</f>
        <v/>
      </c>
      <c r="E7" s="2" t="n">
        <v>0.001</v>
      </c>
      <c r="F7" s="2">
        <f>IF(D7&lt;=E7,"PASS","FAIL")</f>
        <v/>
      </c>
    </row>
    <row r="8">
      <c r="A8" s="2" t="inlineStr">
        <is>
          <t>2026-01-08</t>
        </is>
      </c>
      <c r="B8" s="2" t="n">
        <v>0.0678</v>
      </c>
      <c r="C8" s="2" t="n">
        <v>0.068</v>
      </c>
      <c r="D8" s="2">
        <f>ABS(B8-C8)</f>
        <v/>
      </c>
      <c r="E8" s="2" t="n">
        <v>0.001</v>
      </c>
      <c r="F8" s="2">
        <f>IF(D8&lt;=E8,"PASS","FAIL")</f>
        <v/>
      </c>
    </row>
    <row r="9">
      <c r="A9" s="2" t="inlineStr">
        <is>
          <t>2026-01-09</t>
        </is>
      </c>
      <c r="B9" s="2" t="n">
        <v>0.0679</v>
      </c>
      <c r="C9" s="2" t="n">
        <v>0.06810000000000001</v>
      </c>
      <c r="D9" s="2">
        <f>ABS(B9-C9)</f>
        <v/>
      </c>
      <c r="E9" s="2" t="n">
        <v>0.001</v>
      </c>
      <c r="F9" s="2">
        <f>IF(D9&lt;=E9,"PASS","FAIL")</f>
        <v/>
      </c>
    </row>
    <row r="10">
      <c r="A10" s="2" t="inlineStr">
        <is>
          <t>2026-01-10</t>
        </is>
      </c>
      <c r="B10" s="2" t="n">
        <v>0.068</v>
      </c>
      <c r="C10" s="2" t="n">
        <v>0.06820000000000001</v>
      </c>
      <c r="D10" s="2">
        <f>ABS(B10-C10)</f>
        <v/>
      </c>
      <c r="E10" s="2" t="n">
        <v>0.001</v>
      </c>
      <c r="F10" s="2">
        <f>IF(D10&lt;=E10,"PASS","FAIL")</f>
        <v/>
      </c>
    </row>
    <row r="11">
      <c r="A11" s="2" t="inlineStr">
        <is>
          <t>2026-01-11</t>
        </is>
      </c>
      <c r="B11" s="2" t="n">
        <v>0.06810000000000001</v>
      </c>
      <c r="C11" s="2" t="n">
        <v>0.06830000000000001</v>
      </c>
      <c r="D11" s="2">
        <f>ABS(B11-C11)</f>
        <v/>
      </c>
      <c r="E11" s="2" t="n">
        <v>0.001</v>
      </c>
      <c r="F11" s="2">
        <f>IF(D11&lt;=E11,"PASS","FAIL")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Calibration Day</t>
        </is>
      </c>
      <c r="B1" s="1" t="inlineStr">
        <is>
          <t>Coverage Target</t>
        </is>
      </c>
      <c r="C1" s="1" t="inlineStr">
        <is>
          <t>Observed Covered</t>
        </is>
      </c>
      <c r="D1" s="1" t="inlineStr">
        <is>
          <t>Status</t>
        </is>
      </c>
    </row>
    <row r="2">
      <c r="A2" s="2" t="n">
        <v>2</v>
      </c>
      <c r="B2" s="2" t="n">
        <v>0.9</v>
      </c>
      <c r="C2" s="2" t="n">
        <v>0.89</v>
      </c>
      <c r="D2" s="2">
        <f>IF(C2&gt;=B2-0.05,"PASS","REVIEW")</f>
        <v/>
      </c>
    </row>
    <row r="3">
      <c r="A3" s="2" t="n">
        <v>3</v>
      </c>
      <c r="B3" s="2" t="n">
        <v>0.9</v>
      </c>
      <c r="C3" s="2" t="n">
        <v>0.91</v>
      </c>
      <c r="D3" s="2">
        <f>IF(C3&gt;=B3-0.05,"PASS","REVIEW")</f>
        <v/>
      </c>
    </row>
    <row r="4">
      <c r="A4" s="2" t="n">
        <v>4</v>
      </c>
      <c r="B4" s="2" t="n">
        <v>0.9</v>
      </c>
      <c r="C4" s="2" t="n">
        <v>0.89</v>
      </c>
      <c r="D4" s="2">
        <f>IF(C4&gt;=B4-0.05,"PASS","REVIEW")</f>
        <v/>
      </c>
    </row>
    <row r="5">
      <c r="A5" s="2" t="n">
        <v>5</v>
      </c>
      <c r="B5" s="2" t="n">
        <v>0.9</v>
      </c>
      <c r="C5" s="2" t="n">
        <v>0.91</v>
      </c>
      <c r="D5" s="2">
        <f>IF(C5&gt;=B5-0.05,"PASS","REVIEW")</f>
        <v/>
      </c>
    </row>
    <row r="6">
      <c r="A6" s="2" t="n">
        <v>6</v>
      </c>
      <c r="B6" s="2" t="n">
        <v>0.9</v>
      </c>
      <c r="C6" s="2" t="n">
        <v>0.89</v>
      </c>
      <c r="D6" s="2">
        <f>IF(C6&gt;=B6-0.05,"PASS","REVIEW")</f>
        <v/>
      </c>
    </row>
    <row r="7">
      <c r="A7" s="2" t="n">
        <v>7</v>
      </c>
      <c r="B7" s="2" t="n">
        <v>0.9</v>
      </c>
      <c r="C7" s="2" t="n">
        <v>0.91</v>
      </c>
      <c r="D7" s="2">
        <f>IF(C7&gt;=B7-0.05,"PASS","REVIEW")</f>
        <v/>
      </c>
    </row>
    <row r="8">
      <c r="A8" s="2" t="n">
        <v>8</v>
      </c>
      <c r="B8" s="2" t="n">
        <v>0.9</v>
      </c>
      <c r="C8" s="2" t="n">
        <v>0.89</v>
      </c>
      <c r="D8" s="2">
        <f>IF(C8&gt;=B8-0.05,"PASS","REVIEW")</f>
        <v/>
      </c>
    </row>
    <row r="9">
      <c r="A9" s="2" t="n">
        <v>9</v>
      </c>
      <c r="B9" s="2" t="n">
        <v>0.9</v>
      </c>
      <c r="C9" s="2" t="n">
        <v>0.91</v>
      </c>
      <c r="D9" s="2">
        <f>IF(C9&gt;=B9-0.05,"PASS","REVIEW")</f>
        <v/>
      </c>
    </row>
    <row r="10">
      <c r="A10" s="2" t="n">
        <v>10</v>
      </c>
      <c r="B10" s="2" t="n">
        <v>0.9</v>
      </c>
      <c r="C10" s="2" t="n">
        <v>0.89</v>
      </c>
      <c r="D10" s="2">
        <f>IF(C10&gt;=B10-0.05,"PASS","REVIEW")</f>
        <v/>
      </c>
    </row>
    <row r="11">
      <c r="A11" s="2" t="n">
        <v>11</v>
      </c>
      <c r="B11" s="2" t="n">
        <v>0.9</v>
      </c>
      <c r="C11" s="2" t="n">
        <v>0.91</v>
      </c>
      <c r="D11" s="2">
        <f>IF(C11&gt;=B11-0.05,"PASS","REVIEW")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Formula / Python mapping</t>
        </is>
      </c>
    </row>
    <row r="2">
      <c r="A2" s="2" t="inlineStr">
        <is>
          <t>Total Return</t>
        </is>
      </c>
      <c r="B2" s="2" t="n">
        <v>0.12</v>
      </c>
      <c r="C2" s="2" t="inlineStr">
        <is>
          <t>backtest.backtest</t>
        </is>
      </c>
    </row>
    <row r="3">
      <c r="A3" s="2" t="inlineStr">
        <is>
          <t>CAGR</t>
        </is>
      </c>
      <c r="B3" s="2" t="n">
        <v>0.08</v>
      </c>
      <c r="C3" s="2" t="inlineStr">
        <is>
          <t>backtest.backtest</t>
        </is>
      </c>
    </row>
    <row r="4">
      <c r="A4" s="2" t="inlineStr">
        <is>
          <t>Volatility</t>
        </is>
      </c>
      <c r="B4" s="2" t="n">
        <v>0.14</v>
      </c>
      <c r="C4" s="2" t="inlineStr">
        <is>
          <t>backtest.backtest</t>
        </is>
      </c>
    </row>
    <row r="5">
      <c r="A5" s="2" t="inlineStr">
        <is>
          <t>Max Drawdown</t>
        </is>
      </c>
      <c r="B5" s="2" t="n">
        <v>-0.11</v>
      </c>
      <c r="C5" s="2" t="inlineStr">
        <is>
          <t>backtest.backtest</t>
        </is>
      </c>
    </row>
    <row r="6">
      <c r="A6" s="2" t="inlineStr">
        <is>
          <t>Turnover</t>
        </is>
      </c>
      <c r="B6" s="2" t="n">
        <v>2.1</v>
      </c>
      <c r="C6" s="2" t="inlineStr">
        <is>
          <t>backtest.backtest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Excel item</t>
        </is>
      </c>
      <c r="B1" s="1" t="inlineStr">
        <is>
          <t>Python function</t>
        </is>
      </c>
    </row>
    <row r="2">
      <c r="A2" s="2" t="inlineStr">
        <is>
          <t>Relative Strength</t>
        </is>
      </c>
      <c r="B2" s="2" t="inlineStr">
        <is>
          <t>features.relative_strength</t>
        </is>
      </c>
    </row>
    <row r="3">
      <c r="A3" s="2" t="inlineStr">
        <is>
          <t>Cross-sectional IC</t>
        </is>
      </c>
      <c r="B3" s="2" t="inlineStr">
        <is>
          <t>metrics.cross_sectional_ic</t>
        </is>
      </c>
    </row>
    <row r="4">
      <c r="A4" s="2" t="inlineStr">
        <is>
          <t>Attention entropy</t>
        </is>
      </c>
      <c r="B4" s="2" t="inlineStr">
        <is>
          <t>metrics.attention_entropy</t>
        </is>
      </c>
    </row>
    <row r="5">
      <c r="A5" s="2" t="inlineStr">
        <is>
          <t>Attention concentration</t>
        </is>
      </c>
      <c r="B5" s="2" t="inlineStr">
        <is>
          <t>metrics.attention_concentration</t>
        </is>
      </c>
    </row>
    <row r="6">
      <c r="A6" s="2" t="inlineStr">
        <is>
          <t>Conformal threshold</t>
        </is>
      </c>
      <c r="B6" s="2" t="inlineStr">
        <is>
          <t>uncertainty.split_conformal_threshold</t>
        </is>
      </c>
    </row>
    <row r="7">
      <c r="A7" s="2" t="inlineStr">
        <is>
          <t>Overlay performance</t>
        </is>
      </c>
      <c r="B7" s="2" t="inlineStr">
        <is>
          <t>backtest.backtest</t>
        </is>
      </c>
    </row>
    <row r="8">
      <c r="A8" s="2" t="inlineStr">
        <is>
          <t>Event confidence gate</t>
        </is>
      </c>
      <c r="B8" s="2" t="inlineStr">
        <is>
          <t>robustness.event_adjusted_confidence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2026-09-29T04:34:32Z</dcterms:created>
  <dcterms:modified xmlns:dcterms="http://purl.org/dc/terms/" xmlns:xsi="http://www.w3.org/2001/XMLSchema-instance" xsi:type="dcterms:W3CDTF">2026-09-29T04:34:32Z</dcterms:modified>
</cp:coreProperties>
</file>